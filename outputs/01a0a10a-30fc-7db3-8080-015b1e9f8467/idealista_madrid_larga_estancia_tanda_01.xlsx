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cfafe1040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sos" sheetId="1" r:id="Rc171c7b74390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 [$€-es-ES]"/>
    <x:numFmt numFmtId="201" formatCode="#,##0"/>
    <x:numFmt numFmtId="202" formatCode="0.00 [$€-es-ES]"/>
    <x:numFmt numFmtId="203" formatCode="dd/mm/yyyy"/>
  </x:numFmts>
  <x:fonts count="7">
    <x:font>
      <x:sz val="11"/>
      <x:name val="Carlito"/>
    </x:font>
    <x:font>
      <x:sz val="10"/>
      <x:color rgb="FF222222"/>
      <x:name val="Arial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bottom style="medium">
        <x:color rgb="FF1F4E7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6" fillId="0" borderId="0" xfId="0" applyNumberFormat="1" applyFont="1" applyFill="1" applyBorder="1"/>
    <x:xf numFmtId="203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fee28e40648f3" /><Relationship Type="http://schemas.openxmlformats.org/officeDocument/2006/relationships/theme" Target="/xl/theme/theme1.xml" Id="R72de96ede4804805" /><Relationship Type="http://schemas.openxmlformats.org/officeDocument/2006/relationships/sharedStrings" Target="/xl/sharedStrings.xml" Id="Rf5d4609041944d4c" /><Relationship Type="http://schemas.openxmlformats.org/officeDocument/2006/relationships/worksheet" Target="/xl/worksheets/sheet1.xml" Id="Rc171c7b74390423a" /></Relationships>
</file>

<file path=xl/tables/table1.xml><?xml version="1.0" encoding="utf-8"?>
<x:table xmlns:x="http://schemas.openxmlformats.org/spreadsheetml/2006/main" id="1" name="PisosMadridTanda01" displayName="PisosMadridTanda01" ref="A5:Q35" headerRowCount="1" totalsRowCount="0" totalsRowShown="0">
  <x:tableColumns count="17">
    <x:tableColumn id="1" name="Nº"/>
    <x:tableColumn id="2" name="Tipo"/>
    <x:tableColumn id="3" name="Dirección / zona"/>
    <x:tableColumn id="4" name="Barrio"/>
    <x:tableColumn id="5" name="Precio €/mes"/>
    <x:tableColumn id="6" name="Habitaciones"/>
    <x:tableColumn id="7" name="m²"/>
    <x:tableColumn id="8" name="€/m²"/>
    <x:tableColumn id="9" name="Planta"/>
    <x:tableColumn id="10" name="Orientación"/>
    <x:tableColumn id="11" name="Ascensor"/>
    <x:tableColumn id="12" name="Garaje"/>
    <x:tableColumn id="13" name="Datos destacados"/>
    <x:tableColumn id="14" name="Teléfono"/>
    <x:tableColumn id="15" name="Email"/>
    <x:tableColumn id="16" name="ID anuncio"/>
    <x:tableColumn id="17" name="Enl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bd885e3d414e5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6" hidden="0" customWidth="1"/>
    <x:col min="2" max="2" width="11" hidden="0" customWidth="1"/>
    <x:col min="3" max="3" width="30" hidden="0" customWidth="1"/>
    <x:col min="4" max="4" width="25" hidden="0" customWidth="1"/>
    <x:col min="5" max="5" width="14" hidden="0" customWidth="1"/>
    <x:col min="6" max="6" width="12" hidden="0" customWidth="1"/>
    <x:col min="7" max="7" width="9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9" hidden="0" customWidth="1"/>
    <x:col min="13" max="13" width="40" hidden="0" customWidth="1"/>
    <x:col min="14" max="14" width="27" hidden="0" customWidth="1"/>
    <x:col min="15" max="15" width="15" hidden="0" customWidth="1"/>
    <x:col min="16" max="16" width="13" hidden="0" customWidth="1"/>
    <x:col min="17" max="17" width="43" hidden="0" customWidth="1"/>
    <x:col min="19" max="19" width="13.4399995803833" hidden="0" customWidth="1"/>
    <x:col min="20" max="20" width="65" hidden="0" customWidth="1"/>
  </x:cols>
  <x:sheetData>
    <x:row r="2" ht="25" customHeight="1">
      <x:c r="A2" s="4" t="str">
        <x:v>Idealista: alquiler de larga estancia en Madrid — tanda 01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S2" s="7" t="str">
        <x:v>Resumen</x:v>
      </x:c>
      <x:c r="T2" s="7" t="str">
        <x:v>Valor</x:v>
      </x:c>
    </x:row>
    <x:row r="3" ht="30" customHeight="1">
      <x:c r="A3" s="3" t="str">
        <x:v>Datos públicos visibles el 14/09/2026. La búsqueda mostraba 6.823 viviendas. Teléfonos y correos no quedaron accesibles por la verificación del sitio.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S3" s="18" t="str">
        <x:v>Anuncios en esta tanda</x:v>
      </x:c>
      <x:c r="T3" s="19" t="n">
        <x:v>30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S4" s="20" t="str">
        <x:v>Oferta total mostrada</x:v>
      </x:c>
      <x:c r="T4" s="21" t="n">
        <x:v>6823</x:v>
      </x:c>
    </x:row>
    <x:row r="5" ht="32" hidden="0" customHeight="1">
      <x:c r="A5" s="10" t="str">
        <x:v>Nº</x:v>
      </x:c>
      <x:c r="B5" s="10" t="str">
        <x:v>Tipo</x:v>
      </x:c>
      <x:c r="C5" s="10" t="str">
        <x:v>Dirección / zona</x:v>
      </x:c>
      <x:c r="D5" s="10" t="str">
        <x:v>Barrio</x:v>
      </x:c>
      <x:c r="E5" s="10" t="str">
        <x:v>Precio €/mes</x:v>
      </x:c>
      <x:c r="F5" s="10" t="str">
        <x:v>Habitaciones</x:v>
      </x:c>
      <x:c r="G5" s="10" t="str">
        <x:v>m²</x:v>
      </x:c>
      <x:c r="H5" s="10" t="str">
        <x:v>€/m²</x:v>
      </x:c>
      <x:c r="I5" s="10" t="str">
        <x:v>Planta</x:v>
      </x:c>
      <x:c r="J5" s="10" t="str">
        <x:v>Orientación</x:v>
      </x:c>
      <x:c r="K5" s="10" t="str">
        <x:v>Ascensor</x:v>
      </x:c>
      <x:c r="L5" s="10" t="str">
        <x:v>Garaje</x:v>
      </x:c>
      <x:c r="M5" s="10" t="str">
        <x:v>Datos destacados</x:v>
      </x:c>
      <x:c r="N5" s="10" t="str">
        <x:v>Teléfono</x:v>
      </x:c>
      <x:c r="O5" s="10" t="str">
        <x:v>Email</x:v>
      </x:c>
      <x:c r="P5" s="10" t="str">
        <x:v>ID anuncio</x:v>
      </x:c>
      <x:c r="Q5" s="10" t="str">
        <x:v>Enlace</x:v>
      </x:c>
    </x:row>
    <x:row r="6" ht="36" hidden="0" customHeight="1">
      <x:c r="A6" s="11" t="n">
        <x:v>1</x:v>
      </x:c>
      <x:c r="B6" s="11" t="str">
        <x:v>Piso</x:v>
      </x:c>
      <x:c r="C6" s="11" t="str">
        <x:v>Calle de Edgar Neville</x:v>
      </x:c>
      <x:c r="D6" s="11" t="str">
        <x:v>Cuatro Caminos</x:v>
      </x:c>
      <x:c r="E6" s="13" t="n">
        <x:v>1500</x:v>
      </x:c>
      <x:c r="F6" s="14" t="n">
        <x:v>1</x:v>
      </x:c>
      <x:c r="G6" s="14" t="n">
        <x:v>64</x:v>
      </x:c>
      <x:c r="H6" s="15" t="n">
        <x:f>E6/G6</x:f>
        <x:v>23.4375</x:v>
      </x:c>
      <x:c r="I6" s="11" t="str">
        <x:v>4ª</x:v>
      </x:c>
      <x:c r="J6" s="11" t="str">
        <x:v>Interior</x:v>
      </x:c>
      <x:c r="K6" s="11" t="str">
        <x:v>Sí</x:v>
      </x:c>
      <x:c r="L6" s="11" t="str">
        <x:v>Incluido</x:v>
      </x:c>
      <x:c r="M6" s="12" t="str">
        <x:v>Zona Nuevos Ministerios; casi vacío</x:v>
      </x:c>
      <x:c r="N6" s="12" t="str">
        <x:v>No recuperado; consultar anuncio</x:v>
      </x:c>
      <x:c r="O6" s="12" t="str">
        <x:v>No publicado</x:v>
      </x:c>
      <x:c r="P6" s="11" t="str">
        <x:v>108301005</x:v>
      </x:c>
      <x:c r="Q6" s="11" t="str">
        <x:v>https://www.idealista.com/inmueble/108301005/</x:v>
      </x:c>
      <x:c r="S6" s="22" t="str">
        <x:v>Fuente</x:v>
      </x:c>
      <x:c r="T6" s="17" t="str">
        <x:v>Idealista</x:v>
      </x:c>
    </x:row>
    <x:row r="7" ht="36" hidden="0" customHeight="1">
      <x:c r="A7" s="11" t="n">
        <x:v>2</x:v>
      </x:c>
      <x:c r="B7" s="11" t="str">
        <x:v>Ático</x:v>
      </x:c>
      <x:c r="C7" s="11" t="str">
        <x:v>Calle de Zurbano</x:v>
      </x:c>
      <x:c r="D7" s="11" t="str">
        <x:v>Almagro</x:v>
      </x:c>
      <x:c r="E7" s="13" t="n">
        <x:v>4500</x:v>
      </x:c>
      <x:c r="F7" s="14" t="n">
        <x:v>3</x:v>
      </x:c>
      <x:c r="G7" s="14" t="n">
        <x:v>152</x:v>
      </x:c>
      <x:c r="H7" s="15" t="n">
        <x:f>E7/G7</x:f>
        <x:v>29.605263157894736</x:v>
      </x:c>
      <x:c r="I7" s="11" t="str">
        <x:v>9ª</x:v>
      </x:c>
      <x:c r="J7" s="11" t="str">
        <x:v>Interior</x:v>
      </x:c>
      <x:c r="K7" s="11" t="str">
        <x:v>Sí</x:v>
      </x:c>
      <x:c r="L7" s="11" t="str">
        <x:v>Opcional 200 €/mes</x:v>
      </x:c>
      <x:c r="M7" s="12" t="str">
        <x:v>Sin amueblar; aire acondicionado; no estudiantes</x:v>
      </x:c>
      <x:c r="N7" s="12" t="str">
        <x:v>No recuperado; consultar anuncio</x:v>
      </x:c>
      <x:c r="O7" s="12" t="str">
        <x:v>No publicado</x:v>
      </x:c>
      <x:c r="P7" s="11" t="str">
        <x:v>112504689</x:v>
      </x:c>
      <x:c r="Q7" s="11" t="str">
        <x:v>https://www.idealista.com/inmueble/112504689/</x:v>
      </x:c>
      <x:c r="S7" s="22" t="str">
        <x:v>Búsqueda</x:v>
      </x:c>
      <x:c r="T7" s="17" t="str">
        <x:v>https://www.idealista.com/alquiler-viviendas/madrid-madrid/con-alquiler-de-larga-temporada/</x:v>
      </x:c>
    </x:row>
    <x:row r="8" ht="36" hidden="0" customHeight="1">
      <x:c r="A8" s="11" t="n">
        <x:v>3</x:v>
      </x:c>
      <x:c r="B8" s="11" t="str">
        <x:v>Piso</x:v>
      </x:c>
      <x:c r="C8" s="11" t="str">
        <x:v>Casco Histórico de Barajas</x:v>
      </x:c>
      <x:c r="D8" s="11" t="str">
        <x:v>Casco Histórico de Barajas</x:v>
      </x:c>
      <x:c r="E8" s="13" t="n">
        <x:v>950</x:v>
      </x:c>
      <x:c r="F8" s="14" t="n">
        <x:v>1</x:v>
      </x:c>
      <x:c r="G8" s="14" t="n">
        <x:v>55</x:v>
      </x:c>
      <x:c r="H8" s="15" t="n">
        <x:f>E8/G8</x:f>
        <x:v>17.272727272727273</x:v>
      </x:c>
      <x:c r="I8" s="11" t="str">
        <x:v>1ª</x:v>
      </x:c>
      <x:c r="J8" s="11" t="str">
        <x:v>Exterior</x:v>
      </x:c>
      <x:c r="K8" s="11" t="str">
        <x:v>No</x:v>
      </x:c>
      <x:c r="L8" s="11" t="str">
        <x:v>No indicado</x:v>
      </x:c>
      <x:c r="M8" s="12" t="str">
        <x:v>Amueblado; trastero; aire acondicionado</x:v>
      </x:c>
      <x:c r="N8" s="12" t="str">
        <x:v>No recuperado; consultar anuncio</x:v>
      </x:c>
      <x:c r="O8" s="12" t="str">
        <x:v>No publicado</x:v>
      </x:c>
      <x:c r="P8" s="11" t="str">
        <x:v>112548575</x:v>
      </x:c>
      <x:c r="Q8" s="11" t="str">
        <x:v>https://www.idealista.com/inmueble/112548575/</x:v>
      </x:c>
      <x:c r="S8" s="22" t="str">
        <x:v>Fecha de consulta</x:v>
      </x:c>
      <x:c r="T8" s="23" t="n">
        <x:v>46279</x:v>
      </x:c>
    </x:row>
    <x:row r="9" ht="36" hidden="0" customHeight="1">
      <x:c r="A9" s="11" t="n">
        <x:v>4</x:v>
      </x:c>
      <x:c r="B9" s="11" t="str">
        <x:v>Ático</x:v>
      </x:c>
      <x:c r="C9" s="11" t="str">
        <x:v>Calle de Fray Luis de León, 8</x:v>
      </x:c>
      <x:c r="D9" s="11" t="str">
        <x:v>Palos de la Frontera</x:v>
      </x:c>
      <x:c r="E9" s="13" t="n">
        <x:v>1280</x:v>
      </x:c>
      <x:c r="F9" s="14" t="n">
        <x:v>1</x:v>
      </x:c>
      <x:c r="G9" s="14" t="n">
        <x:v>40</x:v>
      </x:c>
      <x:c r="H9" s="15" t="n">
        <x:f>E9/G9</x:f>
        <x:v>32</x:v>
      </x:c>
      <x:c r="I9" s="11" t="str">
        <x:v>4ª</x:v>
      </x:c>
      <x:c r="J9" s="11" t="str">
        <x:v>Exterior</x:v>
      </x:c>
      <x:c r="K9" s="11" t="str">
        <x:v>No</x:v>
      </x:c>
      <x:c r="L9" s="11" t="str">
        <x:v>No indicado</x:v>
      </x:c>
      <x:c r="M9" s="12" t="str">
        <x:v>Amueblado; terraza y balcón; no admite mascotas</x:v>
      </x:c>
      <x:c r="N9" s="12" t="str">
        <x:v>No recuperado; consultar anuncio</x:v>
      </x:c>
      <x:c r="O9" s="12" t="str">
        <x:v>No publicado</x:v>
      </x:c>
      <x:c r="P9" s="11" t="str">
        <x:v>90827683</x:v>
      </x:c>
      <x:c r="Q9" s="11" t="str">
        <x:v>https://www.idealista.com/inmueble/90827683/</x:v>
      </x:c>
    </x:row>
    <x:row r="10" ht="36" hidden="0" customHeight="1">
      <x:c r="A10" s="11" t="n">
        <x:v>5</x:v>
      </x:c>
      <x:c r="B10" s="11" t="str">
        <x:v>Piso</x:v>
      </x:c>
      <x:c r="C10" s="11" t="str">
        <x:v>Calle Entrepeñas</x:v>
      </x:c>
      <x:c r="D10" s="11" t="str">
        <x:v>Ensanche de Vallecas - La Gavia</x:v>
      </x:c>
      <x:c r="E10" s="13" t="n">
        <x:v>1190</x:v>
      </x:c>
      <x:c r="F10" s="14" t="n">
        <x:v>3</x:v>
      </x:c>
      <x:c r="G10" s="14" t="n">
        <x:v>110</x:v>
      </x:c>
      <x:c r="H10" s="15" t="n">
        <x:f>E10/G10</x:f>
        <x:v>10.818181818181818</x:v>
      </x:c>
      <x:c r="I10" s="11" t="str">
        <x:v>1ª</x:v>
      </x:c>
      <x:c r="J10" s="11" t="str">
        <x:v>Exterior</x:v>
      </x:c>
      <x:c r="K10" s="11" t="str">
        <x:v>Sí</x:v>
      </x:c>
      <x:c r="L10" s="11" t="str">
        <x:v>Incluido</x:v>
      </x:c>
      <x:c r="M10" s="12" t="str">
        <x:v>Buen estado; vivienda familiar</x:v>
      </x:c>
      <x:c r="N10" s="12" t="str">
        <x:v>No recuperado; consultar anuncio</x:v>
      </x:c>
      <x:c r="O10" s="12" t="str">
        <x:v>No publicado</x:v>
      </x:c>
      <x:c r="P10" s="11" t="str">
        <x:v>86540742</x:v>
      </x:c>
      <x:c r="Q10" s="11" t="str">
        <x:v>https://www.idealista.com/inmueble/86540742/</x:v>
      </x:c>
    </x:row>
    <x:row r="11" ht="36" hidden="0" customHeight="1">
      <x:c r="A11" s="11" t="n">
        <x:v>6</x:v>
      </x:c>
      <x:c r="B11" s="11" t="str">
        <x:v>Estudio</x:v>
      </x:c>
      <x:c r="C11" s="11" t="str">
        <x:v>Calle del Marqués de la Ensenada</x:v>
      </x:c>
      <x:c r="D11" s="11" t="str">
        <x:v>Chueca-Justicia</x:v>
      </x:c>
      <x:c r="E11" s="13" t="n">
        <x:v>1375</x:v>
      </x:c>
      <x:c r="F11" s="14" t="n">
        <x:v>0</x:v>
      </x:c>
      <x:c r="G11" s="14" t="n">
        <x:v>40</x:v>
      </x:c>
      <x:c r="H11" s="15" t="n">
        <x:f>E11/G11</x:f>
        <x:v>34.375</x:v>
      </x:c>
      <x:c r="I11" s="11" t="str">
        <x:v>4ª</x:v>
      </x:c>
      <x:c r="J11" s="11" t="str">
        <x:v>Interior</x:v>
      </x:c>
      <x:c r="K11" s="11" t="str">
        <x:v>Sí</x:v>
      </x:c>
      <x:c r="L11" s="11" t="str">
        <x:v>No indicado</x:v>
      </x:c>
      <x:c r="M11" s="12" t="str">
        <x:v>Amueblado; calefacción y aire incluidos</x:v>
      </x:c>
      <x:c r="N11" s="12" t="str">
        <x:v>No recuperado; consultar anuncio</x:v>
      </x:c>
      <x:c r="O11" s="12" t="str">
        <x:v>No publicado</x:v>
      </x:c>
      <x:c r="P11" s="11" t="str">
        <x:v>93873147</x:v>
      </x:c>
      <x:c r="Q11" s="11" t="str">
        <x:v>https://www.idealista.com/inmueble/93873147/</x:v>
      </x:c>
    </x:row>
    <x:row r="12" ht="36" hidden="0" customHeight="1">
      <x:c r="A12" s="11" t="n">
        <x:v>7</x:v>
      </x:c>
      <x:c r="B12" s="11" t="str">
        <x:v>Piso</x:v>
      </x:c>
      <x:c r="C12" s="11" t="str">
        <x:v>Plaza Liceo</x:v>
      </x:c>
      <x:c r="D12" s="11" t="str">
        <x:v>Conde Orgaz-Piovera</x:v>
      </x:c>
      <x:c r="E12" s="13" t="n">
        <x:v>1350</x:v>
      </x:c>
      <x:c r="F12" s="14" t="n">
        <x:v>1</x:v>
      </x:c>
      <x:c r="G12" s="14" t="n">
        <x:v>68</x:v>
      </x:c>
      <x:c r="H12" s="15" t="n">
        <x:f>E12/G12</x:f>
        <x:v>19.852941176470587</x:v>
      </x:c>
      <x:c r="I12" s="11" t="str">
        <x:v>3ª</x:v>
      </x:c>
      <x:c r="J12" s="11" t="str">
        <x:v>Exterior</x:v>
      </x:c>
      <x:c r="K12" s="11" t="str">
        <x:v>Sí</x:v>
      </x:c>
      <x:c r="L12" s="11" t="str">
        <x:v>Incluido</x:v>
      </x:c>
      <x:c r="M12" s="12" t="str">
        <x:v>Urbanización con piscina, jardín y gimnasio</x:v>
      </x:c>
      <x:c r="N12" s="12" t="str">
        <x:v>No recuperado; consultar anuncio</x:v>
      </x:c>
      <x:c r="O12" s="12" t="str">
        <x:v>No publicado</x:v>
      </x:c>
      <x:c r="P12" s="11" t="str">
        <x:v>82480435</x:v>
      </x:c>
      <x:c r="Q12" s="11" t="str">
        <x:v>https://www.idealista.com/inmueble/82480435/</x:v>
      </x:c>
    </x:row>
    <x:row r="13" ht="36" hidden="0" customHeight="1">
      <x:c r="A13" s="11" t="n">
        <x:v>8</x:v>
      </x:c>
      <x:c r="B13" s="11" t="str">
        <x:v>Piso</x:v>
      </x:c>
      <x:c r="C13" s="11" t="str">
        <x:v>Paseo de La Habana, 169</x:v>
      </x:c>
      <x:c r="D13" s="11" t="str">
        <x:v>Nueva España</x:v>
      </x:c>
      <x:c r="E13" s="13" t="n">
        <x:v>2500</x:v>
      </x:c>
      <x:c r="F13" s="14" t="n">
        <x:v>2</x:v>
      </x:c>
      <x:c r="G13" s="14" t="n">
        <x:v>100</x:v>
      </x:c>
      <x:c r="H13" s="15" t="n">
        <x:f>E13/G13</x:f>
        <x:v>25</x:v>
      </x:c>
      <x:c r="I13" s="11" t="str">
        <x:v>1ª</x:v>
      </x:c>
      <x:c r="J13" s="11" t="str">
        <x:v>Exterior</x:v>
      </x:c>
      <x:c r="K13" s="11" t="str">
        <x:v>Sí</x:v>
      </x:c>
      <x:c r="L13" s="11" t="str">
        <x:v>Incluido</x:v>
      </x:c>
      <x:c r="M13" s="12" t="str">
        <x:v>Amueblado; cocina equipada; aire acondicionado</x:v>
      </x:c>
      <x:c r="N13" s="12" t="str">
        <x:v>No recuperado; consultar anuncio</x:v>
      </x:c>
      <x:c r="O13" s="12" t="str">
        <x:v>No publicado</x:v>
      </x:c>
      <x:c r="P13" s="11" t="str">
        <x:v>110213463</x:v>
      </x:c>
      <x:c r="Q13" s="11" t="str">
        <x:v>https://www.idealista.com/inmueble/110213463/</x:v>
      </x:c>
    </x:row>
    <x:row r="14" ht="36" hidden="0" customHeight="1">
      <x:c r="A14" s="11" t="n">
        <x:v>9</x:v>
      </x:c>
      <x:c r="B14" s="11" t="str">
        <x:v>Piso</x:v>
      </x:c>
      <x:c r="C14" s="11" t="str">
        <x:v>Calle de Luisa Fernanda, 25</x:v>
      </x:c>
      <x:c r="D14" s="11" t="str">
        <x:v>Argüelles</x:v>
      </x:c>
      <x:c r="E14" s="13" t="n">
        <x:v>1750</x:v>
      </x:c>
      <x:c r="F14" s="14" t="n">
        <x:v>1</x:v>
      </x:c>
      <x:c r="G14" s="14" t="n">
        <x:v>70</x:v>
      </x:c>
      <x:c r="H14" s="15" t="n">
        <x:f>E14/G14</x:f>
        <x:v>25</x:v>
      </x:c>
      <x:c r="I14" s="11" t="str">
        <x:v>3ª</x:v>
      </x:c>
      <x:c r="J14" s="11" t="str">
        <x:v>Interior</x:v>
      </x:c>
      <x:c r="K14" s="11" t="str">
        <x:v>Sí</x:v>
      </x:c>
      <x:c r="L14" s="11" t="str">
        <x:v>Opcional 100 €/mes</x:v>
      </x:c>
      <x:c r="M14" s="12" t="str">
        <x:v>Particular; reformado y amueblado</x:v>
      </x:c>
      <x:c r="N14" s="12" t="str">
        <x:v>No recuperado; consultar anuncio</x:v>
      </x:c>
      <x:c r="O14" s="12" t="str">
        <x:v>No publicado</x:v>
      </x:c>
      <x:c r="P14" s="11" t="str">
        <x:v>94064025</x:v>
      </x:c>
      <x:c r="Q14" s="11" t="str">
        <x:v>https://www.idealista.com/inmueble/94064025/</x:v>
      </x:c>
    </x:row>
    <x:row r="15" ht="36" hidden="0" customHeight="1">
      <x:c r="A15" s="11" t="n">
        <x:v>10</x:v>
      </x:c>
      <x:c r="B15" s="11" t="str">
        <x:v>Piso</x:v>
      </x:c>
      <x:c r="C15" s="11" t="str">
        <x:v>Calle de la Montera</x:v>
      </x:c>
      <x:c r="D15" s="11" t="str">
        <x:v>Sol</x:v>
      </x:c>
      <x:c r="E15" s="13" t="n">
        <x:v>1800</x:v>
      </x:c>
      <x:c r="F15" s="14" t="n">
        <x:v>1</x:v>
      </x:c>
      <x:c r="G15" s="14" t="n">
        <x:v>82</x:v>
      </x:c>
      <x:c r="H15" s="15" t="n">
        <x:f>E15/G15</x:f>
        <x:v>21.951219512195124</x:v>
      </x:c>
      <x:c r="I15" s="11" t="str">
        <x:v>2ª</x:v>
      </x:c>
      <x:c r="J15" s="11" t="str">
        <x:v>Exterior</x:v>
      </x:c>
      <x:c r="K15" s="11" t="str">
        <x:v>Sí</x:v>
      </x:c>
      <x:c r="L15" s="11" t="str">
        <x:v>No indicado</x:v>
      </x:c>
      <x:c r="M15" s="12" t="str">
        <x:v>Amueblado; terraza y balcón; aire acondicionado</x:v>
      </x:c>
      <x:c r="N15" s="12" t="str">
        <x:v>No recuperado; consultar anuncio</x:v>
      </x:c>
      <x:c r="O15" s="12" t="str">
        <x:v>No publicado</x:v>
      </x:c>
      <x:c r="P15" s="11" t="str">
        <x:v>100556203</x:v>
      </x:c>
      <x:c r="Q15" s="11" t="str">
        <x:v>https://www.idealista.com/inmueble/100556203/</x:v>
      </x:c>
    </x:row>
    <x:row r="16" ht="36" hidden="0" customHeight="1">
      <x:c r="A16" s="11" t="n">
        <x:v>11</x:v>
      </x:c>
      <x:c r="B16" s="11" t="str">
        <x:v>Ático</x:v>
      </x:c>
      <x:c r="C16" s="11" t="str">
        <x:v>Calle Torrelaguna, 106</x:v>
      </x:c>
      <x:c r="D16" s="11" t="str">
        <x:v>Colina</x:v>
      </x:c>
      <x:c r="E16" s="13" t="n">
        <x:v>1495</x:v>
      </x:c>
      <x:c r="F16" s="14" t="n">
        <x:v>1</x:v>
      </x:c>
      <x:c r="G16" s="14" t="n">
        <x:v>67</x:v>
      </x:c>
      <x:c r="H16" s="15" t="n">
        <x:f>E16/G16</x:f>
        <x:v>22.313432835820894</x:v>
      </x:c>
      <x:c r="I16" s="11" t="str">
        <x:v>6ª</x:v>
      </x:c>
      <x:c r="J16" s="11" t="str">
        <x:v>Exterior</x:v>
      </x:c>
      <x:c r="K16" s="11" t="str">
        <x:v>Sí</x:v>
      </x:c>
      <x:c r="L16" s="11" t="str">
        <x:v>Incluido</x:v>
      </x:c>
      <x:c r="M16" s="12" t="str">
        <x:v>Amueblado; luminoso y silencioso</x:v>
      </x:c>
      <x:c r="N16" s="12" t="str">
        <x:v>No recuperado; consultar anuncio</x:v>
      </x:c>
      <x:c r="O16" s="12" t="str">
        <x:v>No publicado</x:v>
      </x:c>
      <x:c r="P16" s="11" t="str">
        <x:v>1899693</x:v>
      </x:c>
      <x:c r="Q16" s="11" t="str">
        <x:v>https://www.idealista.com/inmueble/1899693/</x:v>
      </x:c>
    </x:row>
    <x:row r="17" ht="36" hidden="0" customHeight="1">
      <x:c r="A17" s="11" t="n">
        <x:v>12</x:v>
      </x:c>
      <x:c r="B17" s="11" t="str">
        <x:v>Piso</x:v>
      </x:c>
      <x:c r="C17" s="11" t="str">
        <x:v>Avenida de Alberto Alcocer</x:v>
      </x:c>
      <x:c r="D17" s="11" t="str">
        <x:v>Bernabéu-Hispanoamérica</x:v>
      </x:c>
      <x:c r="E17" s="13" t="n">
        <x:v>3500</x:v>
      </x:c>
      <x:c r="F17" s="14" t="n">
        <x:v>4</x:v>
      </x:c>
      <x:c r="G17" s="14" t="n">
        <x:v>174</x:v>
      </x:c>
      <x:c r="H17" s="15" t="n">
        <x:f>E17/G17</x:f>
        <x:v>20.114942528735632</x:v>
      </x:c>
      <x:c r="I17" s="11" t="str">
        <x:v>6ª</x:v>
      </x:c>
      <x:c r="J17" s="11" t="str">
        <x:v>Exterior</x:v>
      </x:c>
      <x:c r="K17" s="11" t="str">
        <x:v>Sí</x:v>
      </x:c>
      <x:c r="L17" s="11" t="str">
        <x:v>Incluido</x:v>
      </x:c>
      <x:c r="M17" s="12" t="str">
        <x:v>Piso amplio para familia</x:v>
      </x:c>
      <x:c r="N17" s="12" t="str">
        <x:v>No recuperado; consultar anuncio</x:v>
      </x:c>
      <x:c r="O17" s="12" t="str">
        <x:v>No publicado</x:v>
      </x:c>
      <x:c r="P17" s="11" t="str">
        <x:v>111903783</x:v>
      </x:c>
      <x:c r="Q17" s="11" t="str">
        <x:v>https://www.idealista.com/inmueble/111903783/</x:v>
      </x:c>
    </x:row>
    <x:row r="18" ht="36" hidden="0" customHeight="1">
      <x:c r="A18" s="11" t="n">
        <x:v>13</x:v>
      </x:c>
      <x:c r="B18" s="11" t="str">
        <x:v>Piso</x:v>
      </x:c>
      <x:c r="C18" s="11" t="str">
        <x:v>Calle de Cea Bermúdez</x:v>
      </x:c>
      <x:c r="D18" s="11" t="str">
        <x:v>Arapiles</x:v>
      </x:c>
      <x:c r="E18" s="13" t="n">
        <x:v>1800</x:v>
      </x:c>
      <x:c r="F18" s="14" t="n">
        <x:v>2</x:v>
      </x:c>
      <x:c r="G18" s="14" t="n">
        <x:v>75</x:v>
      </x:c>
      <x:c r="H18" s="15" t="n">
        <x:f>E18/G18</x:f>
        <x:v>24</x:v>
      </x:c>
      <x:c r="I18" s="11" t="str">
        <x:v>Bajo</x:v>
      </x:c>
      <x:c r="J18" s="11" t="str">
        <x:v>Exterior</x:v>
      </x:c>
      <x:c r="K18" s="11" t="str">
        <x:v>Sí</x:v>
      </x:c>
      <x:c r="L18" s="11" t="str">
        <x:v>No indicado</x:v>
      </x:c>
      <x:c r="M18" s="12" t="str">
        <x:v>Vivienda céntrica y luminosa</x:v>
      </x:c>
      <x:c r="N18" s="12" t="str">
        <x:v>No recuperado; consultar anuncio</x:v>
      </x:c>
      <x:c r="O18" s="12" t="str">
        <x:v>No publicado</x:v>
      </x:c>
      <x:c r="P18" s="11" t="str">
        <x:v>112548407</x:v>
      </x:c>
      <x:c r="Q18" s="11" t="str">
        <x:v>https://www.idealista.com/inmueble/112548407/</x:v>
      </x:c>
    </x:row>
    <x:row r="19" ht="36" hidden="0" customHeight="1">
      <x:c r="A19" s="11" t="n">
        <x:v>14</x:v>
      </x:c>
      <x:c r="B19" s="11" t="str">
        <x:v>Piso</x:v>
      </x:c>
      <x:c r="C19" s="11" t="str">
        <x:v>Calle de Alfonso X</x:v>
      </x:c>
      <x:c r="D19" s="11" t="str">
        <x:v>Almagro</x:v>
      </x:c>
      <x:c r="E19" s="13" t="n">
        <x:v>2850</x:v>
      </x:c>
      <x:c r="F19" s="14" t="n">
        <x:v>2</x:v>
      </x:c>
      <x:c r="G19" s="14" t="n">
        <x:v>77</x:v>
      </x:c>
      <x:c r="H19" s="15" t="n">
        <x:f>E19/G19</x:f>
        <x:v>37.01298701298701</x:v>
      </x:c>
      <x:c r="I19" s="11" t="str">
        <x:v>1ª</x:v>
      </x:c>
      <x:c r="J19" s="11" t="str">
        <x:v>Exterior</x:v>
      </x:c>
      <x:c r="K19" s="11" t="str">
        <x:v>Sí</x:v>
      </x:c>
      <x:c r="L19" s="11" t="str">
        <x:v>No indicado</x:v>
      </x:c>
      <x:c r="M19" s="12" t="str">
        <x:v>Sin amueblar; buen estado</x:v>
      </x:c>
      <x:c r="N19" s="12" t="str">
        <x:v>No recuperado; consultar anuncio</x:v>
      </x:c>
      <x:c r="O19" s="12" t="str">
        <x:v>No publicado</x:v>
      </x:c>
      <x:c r="P19" s="11" t="str">
        <x:v>112164496</x:v>
      </x:c>
      <x:c r="Q19" s="11" t="str">
        <x:v>https://www.idealista.com/inmueble/112164496/</x:v>
      </x:c>
    </x:row>
    <x:row r="20" ht="36" hidden="0" customHeight="1">
      <x:c r="A20" s="11" t="n">
        <x:v>15</x:v>
      </x:c>
      <x:c r="B20" s="11" t="str">
        <x:v>Piso</x:v>
      </x:c>
      <x:c r="C20" s="11" t="str">
        <x:v>Calle de Julio Palacios</x:v>
      </x:c>
      <x:c r="D20" s="11" t="str">
        <x:v>La Paz</x:v>
      </x:c>
      <x:c r="E20" s="13" t="n">
        <x:v>2500</x:v>
      </x:c>
      <x:c r="F20" s="14" t="n">
        <x:v>3</x:v>
      </x:c>
      <x:c r="G20" s="14" t="n">
        <x:v>139</x:v>
      </x:c>
      <x:c r="H20" s="15" t="n">
        <x:f>E20/G20</x:f>
        <x:v>17.985611510791365</x:v>
      </x:c>
      <x:c r="I20" s="11" t="str">
        <x:v>11ª</x:v>
      </x:c>
      <x:c r="J20" s="11" t="str">
        <x:v>Exterior</x:v>
      </x:c>
      <x:c r="K20" s="11" t="str">
        <x:v>Sí</x:v>
      </x:c>
      <x:c r="L20" s="11" t="str">
        <x:v>Incluido</x:v>
      </x:c>
      <x:c r="M20" s="12" t="str">
        <x:v>Amueblado; terraza y piscina</x:v>
      </x:c>
      <x:c r="N20" s="12" t="str">
        <x:v>No recuperado; consultar anuncio</x:v>
      </x:c>
      <x:c r="O20" s="12" t="str">
        <x:v>No publicado</x:v>
      </x:c>
      <x:c r="P20" s="11" t="str">
        <x:v>112548416</x:v>
      </x:c>
      <x:c r="Q20" s="11" t="str">
        <x:v>https://www.idealista.com/inmueble/112548416/</x:v>
      </x:c>
    </x:row>
    <x:row r="21" ht="36" hidden="0" customHeight="1">
      <x:c r="A21" s="11" t="n">
        <x:v>16</x:v>
      </x:c>
      <x:c r="B21" s="11" t="str">
        <x:v>Piso</x:v>
      </x:c>
      <x:c r="C21" s="11" t="str">
        <x:v>Calle de Evaristo San Miguel</x:v>
      </x:c>
      <x:c r="D21" s="11" t="str">
        <x:v>Argüelles</x:v>
      </x:c>
      <x:c r="E21" s="13" t="n">
        <x:v>3690</x:v>
      </x:c>
      <x:c r="F21" s="14" t="n">
        <x:v>3</x:v>
      </x:c>
      <x:c r="G21" s="14" t="n">
        <x:v>140</x:v>
      </x:c>
      <x:c r="H21" s="15" t="n">
        <x:f>E21/G21</x:f>
        <x:v>26.357142857142858</x:v>
      </x:c>
      <x:c r="I21" s="11" t="str">
        <x:v>4ª</x:v>
      </x:c>
      <x:c r="J21" s="11" t="str">
        <x:v>Exterior</x:v>
      </x:c>
      <x:c r="K21" s="11" t="str">
        <x:v>Sí</x:v>
      </x:c>
      <x:c r="L21" s="11" t="str">
        <x:v>Opcional 250 €/mes</x:v>
      </x:c>
      <x:c r="M21" s="12" t="str">
        <x:v>Obra nueva; piscina y gimnasio</x:v>
      </x:c>
      <x:c r="N21" s="12" t="str">
        <x:v>No recuperado; consultar anuncio</x:v>
      </x:c>
      <x:c r="O21" s="12" t="str">
        <x:v>No publicado</x:v>
      </x:c>
      <x:c r="P21" s="11" t="str">
        <x:v>110509405</x:v>
      </x:c>
      <x:c r="Q21" s="11" t="str">
        <x:v>https://www.idealista.com/inmueble/110509405/</x:v>
      </x:c>
    </x:row>
    <x:row r="22" ht="36" hidden="0" customHeight="1">
      <x:c r="A22" s="11" t="n">
        <x:v>17</x:v>
      </x:c>
      <x:c r="B22" s="11" t="str">
        <x:v>Piso</x:v>
      </x:c>
      <x:c r="C22" s="11" t="str">
        <x:v>Calle de Ponzano</x:v>
      </x:c>
      <x:c r="D22" s="11" t="str">
        <x:v>Nuevos Ministerios-Ríos Rosas</x:v>
      </x:c>
      <x:c r="E22" s="13" t="n">
        <x:v>2800</x:v>
      </x:c>
      <x:c r="F22" s="14" t="n">
        <x:v>2</x:v>
      </x:c>
      <x:c r="G22" s="14" t="n">
        <x:v>92</x:v>
      </x:c>
      <x:c r="H22" s="15" t="n">
        <x:f>E22/G22</x:f>
        <x:v>30.434782608695652</x:v>
      </x:c>
      <x:c r="I22" s="11" t="str">
        <x:v>3ª</x:v>
      </x:c>
      <x:c r="J22" s="11" t="str">
        <x:v>Exterior</x:v>
      </x:c>
      <x:c r="K22" s="11" t="str">
        <x:v>Sí</x:v>
      </x:c>
      <x:c r="L22" s="11" t="str">
        <x:v>No indicado</x:v>
      </x:c>
      <x:c r="M22" s="12" t="str">
        <x:v>Disponible desde la segunda semana de octubre de 2026</x:v>
      </x:c>
      <x:c r="N22" s="12" t="str">
        <x:v>No recuperado; consultar anuncio</x:v>
      </x:c>
      <x:c r="O22" s="12" t="str">
        <x:v>No publicado</x:v>
      </x:c>
      <x:c r="P22" s="11" t="str">
        <x:v>112548397</x:v>
      </x:c>
      <x:c r="Q22" s="11" t="str">
        <x:v>https://www.idealista.com/inmueble/112548397/</x:v>
      </x:c>
    </x:row>
    <x:row r="23" ht="36" hidden="0" customHeight="1">
      <x:c r="A23" s="11" t="n">
        <x:v>18</x:v>
      </x:c>
      <x:c r="B23" s="11" t="str">
        <x:v>Piso</x:v>
      </x:c>
      <x:c r="C23" s="11" t="str">
        <x:v>Calle de la Academia, 8</x:v>
      </x:c>
      <x:c r="D23" s="11" t="str">
        <x:v>Jerónimos</x:v>
      </x:c>
      <x:c r="E23" s="13" t="n">
        <x:v>2500</x:v>
      </x:c>
      <x:c r="F23" s="14" t="n">
        <x:v>1</x:v>
      </x:c>
      <x:c r="G23" s="14" t="n">
        <x:v>51</x:v>
      </x:c>
      <x:c r="H23" s="15" t="n">
        <x:f>E23/G23</x:f>
        <x:v>49.01960784313726</x:v>
      </x:c>
      <x:c r="I23" s="11" t="str">
        <x:v>7ª</x:v>
      </x:c>
      <x:c r="J23" s="11" t="str">
        <x:v>Exterior</x:v>
      </x:c>
      <x:c r="K23" s="11" t="str">
        <x:v>Sí</x:v>
      </x:c>
      <x:c r="L23" s="11" t="str">
        <x:v>No indicado</x:v>
      </x:c>
      <x:c r="M23" s="12" t="str">
        <x:v>Amueblado; terraza; no admite mascotas</x:v>
      </x:c>
      <x:c r="N23" s="12" t="str">
        <x:v>No recuperado; consultar anuncio</x:v>
      </x:c>
      <x:c r="O23" s="12" t="str">
        <x:v>No publicado</x:v>
      </x:c>
      <x:c r="P23" s="11" t="str">
        <x:v>111832795</x:v>
      </x:c>
      <x:c r="Q23" s="11" t="str">
        <x:v>https://www.idealista.com/inmueble/111832795/</x:v>
      </x:c>
    </x:row>
    <x:row r="24" ht="36" hidden="0" customHeight="1">
      <x:c r="A24" s="11" t="n">
        <x:v>19</x:v>
      </x:c>
      <x:c r="B24" s="11" t="str">
        <x:v>Estudio</x:v>
      </x:c>
      <x:c r="C24" s="11" t="str">
        <x:v>Calle de Antonio Zamora</x:v>
      </x:c>
      <x:c r="D24" s="11" t="str">
        <x:v>Puerta del Ángel</x:v>
      </x:c>
      <x:c r="E24" s="13" t="n">
        <x:v>1300</x:v>
      </x:c>
      <x:c r="F24" s="14" t="n">
        <x:v>0</x:v>
      </x:c>
      <x:c r="G24" s="14" t="n">
        <x:v>32</x:v>
      </x:c>
      <x:c r="H24" s="15" t="n">
        <x:f>E24/G24</x:f>
        <x:v>40.625</x:v>
      </x:c>
      <x:c r="I24" s="11" t="str">
        <x:v>3ª</x:v>
      </x:c>
      <x:c r="J24" s="11" t="str">
        <x:v>Exterior</x:v>
      </x:c>
      <x:c r="K24" s="11" t="str">
        <x:v>No</x:v>
      </x:c>
      <x:c r="L24" s="11" t="str">
        <x:v>No indicado</x:v>
      </x:c>
      <x:c r="M24" s="12" t="str">
        <x:v>Requiere documentación de solvencia</x:v>
      </x:c>
      <x:c r="N24" s="12" t="str">
        <x:v>No recuperado; consultar anuncio</x:v>
      </x:c>
      <x:c r="O24" s="12" t="str">
        <x:v>No publicado</x:v>
      </x:c>
      <x:c r="P24" s="11" t="str">
        <x:v>105185150</x:v>
      </x:c>
      <x:c r="Q24" s="11" t="str">
        <x:v>https://www.idealista.com/inmueble/105185150/</x:v>
      </x:c>
    </x:row>
    <x:row r="25" ht="36" hidden="0" customHeight="1">
      <x:c r="A25" s="11" t="n">
        <x:v>20</x:v>
      </x:c>
      <x:c r="B25" s="11" t="str">
        <x:v>Piso</x:v>
      </x:c>
      <x:c r="C25" s="11" t="str">
        <x:v>Calle de Serrano Anguita</x:v>
      </x:c>
      <x:c r="D25" s="11" t="str">
        <x:v>Chueca-Justicia</x:v>
      </x:c>
      <x:c r="E25" s="13" t="n">
        <x:v>3000</x:v>
      </x:c>
      <x:c r="F25" s="14" t="n">
        <x:v>5</x:v>
      </x:c>
      <x:c r="G25" s="14" t="n">
        <x:v>143</x:v>
      </x:c>
      <x:c r="H25" s="15" t="n">
        <x:f>E25/G25</x:f>
        <x:v>20.97902097902098</x:v>
      </x:c>
      <x:c r="I25" s="11" t="str">
        <x:v>2ª</x:v>
      </x:c>
      <x:c r="J25" s="11" t="str">
        <x:v>Exterior</x:v>
      </x:c>
      <x:c r="K25" s="11" t="str">
        <x:v>Sí</x:v>
      </x:c>
      <x:c r="L25" s="11" t="str">
        <x:v>No indicado</x:v>
      </x:c>
      <x:c r="M25" s="12" t="str">
        <x:v>Piso señorial amplio</x:v>
      </x:c>
      <x:c r="N25" s="12" t="str">
        <x:v>No recuperado; consultar anuncio</x:v>
      </x:c>
      <x:c r="O25" s="12" t="str">
        <x:v>No publicado</x:v>
      </x:c>
      <x:c r="P25" s="11" t="str">
        <x:v>111915565</x:v>
      </x:c>
      <x:c r="Q25" s="11" t="str">
        <x:v>https://www.idealista.com/inmueble/111915565/</x:v>
      </x:c>
    </x:row>
    <x:row r="26" ht="36" hidden="0" customHeight="1">
      <x:c r="A26" s="11" t="n">
        <x:v>21</x:v>
      </x:c>
      <x:c r="B26" s="11" t="str">
        <x:v>Piso</x:v>
      </x:c>
      <x:c r="C26" s="11" t="str">
        <x:v>Calle de Orense</x:v>
      </x:c>
      <x:c r="D26" s="11" t="str">
        <x:v>Cuzco-Castillejos</x:v>
      </x:c>
      <x:c r="E26" s="13" t="n">
        <x:v>2400</x:v>
      </x:c>
      <x:c r="F26" s="14" t="n">
        <x:v>3</x:v>
      </x:c>
      <x:c r="G26" s="14" t="n">
        <x:v>126</x:v>
      </x:c>
      <x:c r="H26" s="15" t="n">
        <x:f>E26/G26</x:f>
        <x:v>19.047619047619047</x:v>
      </x:c>
      <x:c r="I26" s="11" t="str">
        <x:v>4ª</x:v>
      </x:c>
      <x:c r="J26" s="11" t="str">
        <x:v>Exterior</x:v>
      </x:c>
      <x:c r="K26" s="11" t="str">
        <x:v>Sí</x:v>
      </x:c>
      <x:c r="L26" s="11" t="str">
        <x:v>Opcional 100 €/mes</x:v>
      </x:c>
      <x:c r="M26" s="12" t="str">
        <x:v>Sin amueblar; reformado; aire acondicionado</x:v>
      </x:c>
      <x:c r="N26" s="12" t="str">
        <x:v>No recuperado; consultar anuncio</x:v>
      </x:c>
      <x:c r="O26" s="12" t="str">
        <x:v>No publicado</x:v>
      </x:c>
      <x:c r="P26" s="11" t="str">
        <x:v>112548136</x:v>
      </x:c>
      <x:c r="Q26" s="11" t="str">
        <x:v>https://www.idealista.com/inmueble/112548136/</x:v>
      </x:c>
    </x:row>
    <x:row r="27" ht="36" hidden="0" customHeight="1">
      <x:c r="A27" s="11" t="n">
        <x:v>22</x:v>
      </x:c>
      <x:c r="B27" s="11" t="str">
        <x:v>Piso</x:v>
      </x:c>
      <x:c r="C27" s="11" t="str">
        <x:v>Castellana</x:v>
      </x:c>
      <x:c r="D27" s="11" t="str">
        <x:v>Castellana</x:v>
      </x:c>
      <x:c r="E27" s="13" t="n">
        <x:v>8500</x:v>
      </x:c>
      <x:c r="F27" s="14" t="n">
        <x:v>4</x:v>
      </x:c>
      <x:c r="G27" s="14" t="n">
        <x:v>160</x:v>
      </x:c>
      <x:c r="H27" s="15" t="n">
        <x:f>E27/G27</x:f>
        <x:v>53.125</x:v>
      </x:c>
      <x:c r="I27" s="11" t="str">
        <x:v>No indicada</x:v>
      </x:c>
      <x:c r="J27" s="11" t="str">
        <x:v>Exterior</x:v>
      </x:c>
      <x:c r="K27" s="11" t="str">
        <x:v>No</x:v>
      </x:c>
      <x:c r="L27" s="11" t="str">
        <x:v>No indicado</x:v>
      </x:c>
      <x:c r="M27" s="12" t="str">
        <x:v>Vivienda de lujo a estrenar</x:v>
      </x:c>
      <x:c r="N27" s="12" t="str">
        <x:v>No recuperado; consultar anuncio</x:v>
      </x:c>
      <x:c r="O27" s="12" t="str">
        <x:v>No publicado</x:v>
      </x:c>
      <x:c r="P27" s="11" t="str">
        <x:v>110509822</x:v>
      </x:c>
      <x:c r="Q27" s="11" t="str">
        <x:v>https://www.idealista.com/inmueble/110509822/</x:v>
      </x:c>
    </x:row>
    <x:row r="28" ht="36" hidden="0" customHeight="1">
      <x:c r="A28" s="11" t="n">
        <x:v>23</x:v>
      </x:c>
      <x:c r="B28" s="11" t="str">
        <x:v>Piso</x:v>
      </x:c>
      <x:c r="C28" s="11" t="str">
        <x:v>Recoletos</x:v>
      </x:c>
      <x:c r="D28" s="11" t="str">
        <x:v>Recoletos</x:v>
      </x:c>
      <x:c r="E28" s="13" t="n">
        <x:v>4000</x:v>
      </x:c>
      <x:c r="F28" s="14" t="n">
        <x:v>2</x:v>
      </x:c>
      <x:c r="G28" s="14" t="n">
        <x:v>130</x:v>
      </x:c>
      <x:c r="H28" s="15" t="n">
        <x:f>E28/G28</x:f>
        <x:v>30.76923076923077</x:v>
      </x:c>
      <x:c r="I28" s="11" t="str">
        <x:v>6ª</x:v>
      </x:c>
      <x:c r="J28" s="11" t="str">
        <x:v>Exterior</x:v>
      </x:c>
      <x:c r="K28" s="11" t="str">
        <x:v>Sí</x:v>
      </x:c>
      <x:c r="L28" s="11" t="str">
        <x:v>No indicado</x:v>
      </x:c>
      <x:c r="M28" s="12" t="str">
        <x:v>Opción amueblado por 4.500 €/mes</x:v>
      </x:c>
      <x:c r="N28" s="12" t="str">
        <x:v>No recuperado; consultar anuncio</x:v>
      </x:c>
      <x:c r="O28" s="12" t="str">
        <x:v>No publicado</x:v>
      </x:c>
      <x:c r="P28" s="11" t="str">
        <x:v>112548096</x:v>
      </x:c>
      <x:c r="Q28" s="11" t="str">
        <x:v>https://www.idealista.com/inmueble/112548096/</x:v>
      </x:c>
    </x:row>
    <x:row r="29" ht="36" hidden="0" customHeight="1">
      <x:c r="A29" s="11" t="n">
        <x:v>24</x:v>
      </x:c>
      <x:c r="B29" s="11" t="str">
        <x:v>Piso</x:v>
      </x:c>
      <x:c r="C29" s="11" t="str">
        <x:v>Calle Ardales</x:v>
      </x:c>
      <x:c r="D29" s="11" t="str">
        <x:v>Aravaca</x:v>
      </x:c>
      <x:c r="E29" s="13" t="n">
        <x:v>3300</x:v>
      </x:c>
      <x:c r="F29" s="14" t="n">
        <x:v>3</x:v>
      </x:c>
      <x:c r="G29" s="14" t="n">
        <x:v>218</x:v>
      </x:c>
      <x:c r="H29" s="15" t="n">
        <x:f>E29/G29</x:f>
        <x:v>15.137614678899082</x:v>
      </x:c>
      <x:c r="I29" s="11" t="str">
        <x:v>Bajo</x:v>
      </x:c>
      <x:c r="J29" s="11" t="str">
        <x:v>Exterior</x:v>
      </x:c>
      <x:c r="K29" s="11" t="str">
        <x:v>Sí</x:v>
      </x:c>
      <x:c r="L29" s="11" t="str">
        <x:v>Incluido</x:v>
      </x:c>
      <x:c r="M29" s="12" t="str">
        <x:v>Terraza y jardín</x:v>
      </x:c>
      <x:c r="N29" s="12" t="str">
        <x:v>No recuperado; consultar anuncio</x:v>
      </x:c>
      <x:c r="O29" s="12" t="str">
        <x:v>No publicado</x:v>
      </x:c>
      <x:c r="P29" s="11" t="str">
        <x:v>111677667</x:v>
      </x:c>
      <x:c r="Q29" s="11" t="str">
        <x:v>https://www.idealista.com/inmueble/111677667/</x:v>
      </x:c>
    </x:row>
    <x:row r="30" ht="36" hidden="0" customHeight="1">
      <x:c r="A30" s="11" t="n">
        <x:v>25</x:v>
      </x:c>
      <x:c r="B30" s="11" t="str">
        <x:v>Piso</x:v>
      </x:c>
      <x:c r="C30" s="11" t="str">
        <x:v>Calle del Poeta Joan Maragall, 51</x:v>
      </x:c>
      <x:c r="D30" s="11" t="str">
        <x:v>Cuzco-Castillejos</x:v>
      </x:c>
      <x:c r="E30" s="13" t="n">
        <x:v>1100</x:v>
      </x:c>
      <x:c r="F30" s="14" t="n">
        <x:v>1</x:v>
      </x:c>
      <x:c r="G30" s="14" t="n">
        <x:v>54</x:v>
      </x:c>
      <x:c r="H30" s="15" t="n">
        <x:f>E30/G30</x:f>
        <x:v>20.37037037037037</x:v>
      </x:c>
      <x:c r="I30" s="11" t="str">
        <x:v>19ª</x:v>
      </x:c>
      <x:c r="J30" s="11" t="str">
        <x:v>Exterior</x:v>
      </x:c>
      <x:c r="K30" s="11" t="str">
        <x:v>Sí</x:v>
      </x:c>
      <x:c r="L30" s="11" t="str">
        <x:v>No indicado</x:v>
      </x:c>
      <x:c r="M30" s="12" t="str">
        <x:v>Muy luminoso; vistas panorámicas</x:v>
      </x:c>
      <x:c r="N30" s="12" t="str">
        <x:v>No recuperado; consultar anuncio</x:v>
      </x:c>
      <x:c r="O30" s="12" t="str">
        <x:v>No publicado</x:v>
      </x:c>
      <x:c r="P30" s="11" t="str">
        <x:v>112547688</x:v>
      </x:c>
      <x:c r="Q30" s="11" t="str">
        <x:v>https://www.idealista.com/inmueble/112547688/</x:v>
      </x:c>
    </x:row>
    <x:row r="31" ht="36" hidden="0" customHeight="1">
      <x:c r="A31" s="11" t="n">
        <x:v>26</x:v>
      </x:c>
      <x:c r="B31" s="11" t="str">
        <x:v>Piso</x:v>
      </x:c>
      <x:c r="C31" s="11" t="str">
        <x:v>Paseo del Pintor Rosales</x:v>
      </x:c>
      <x:c r="D31" s="11" t="str">
        <x:v>Argüelles</x:v>
      </x:c>
      <x:c r="E31" s="13" t="n">
        <x:v>13995</x:v>
      </x:c>
      <x:c r="F31" s="14" t="n">
        <x:v>6</x:v>
      </x:c>
      <x:c r="G31" s="14" t="n">
        <x:v>360</x:v>
      </x:c>
      <x:c r="H31" s="15" t="n">
        <x:f>E31/G31</x:f>
        <x:v>38.875</x:v>
      </x:c>
      <x:c r="I31" s="11" t="str">
        <x:v>1ª</x:v>
      </x:c>
      <x:c r="J31" s="11" t="str">
        <x:v>Exterior</x:v>
      </x:c>
      <x:c r="K31" s="11" t="str">
        <x:v>Sí</x:v>
      </x:c>
      <x:c r="L31" s="11" t="str">
        <x:v>Incluido</x:v>
      </x:c>
      <x:c r="M31" s="12" t="str">
        <x:v>Amueblado; terrazas; admite mascotas</x:v>
      </x:c>
      <x:c r="N31" s="12" t="str">
        <x:v>No recuperado; consultar anuncio</x:v>
      </x:c>
      <x:c r="O31" s="12" t="str">
        <x:v>No publicado</x:v>
      </x:c>
      <x:c r="P31" s="11" t="str">
        <x:v>106843213</x:v>
      </x:c>
      <x:c r="Q31" s="11" t="str">
        <x:v>https://www.idealista.com/inmueble/106843213/</x:v>
      </x:c>
    </x:row>
    <x:row r="32" ht="36" hidden="0" customHeight="1">
      <x:c r="A32" s="11" t="n">
        <x:v>27</x:v>
      </x:c>
      <x:c r="B32" s="11" t="str">
        <x:v>Piso</x:v>
      </x:c>
      <x:c r="C32" s="11" t="str">
        <x:v>Calle de Isaac Peral, 40</x:v>
      </x:c>
      <x:c r="D32" s="11" t="str">
        <x:v>Gaztambide</x:v>
      </x:c>
      <x:c r="E32" s="13" t="n">
        <x:v>1700</x:v>
      </x:c>
      <x:c r="F32" s="14" t="n">
        <x:v>1</x:v>
      </x:c>
      <x:c r="G32" s="14" t="n">
        <x:v>126</x:v>
      </x:c>
      <x:c r="H32" s="15" t="n">
        <x:f>E32/G32</x:f>
        <x:v>13.492063492063492</x:v>
      </x:c>
      <x:c r="I32" s="11" t="str">
        <x:v>8ª</x:v>
      </x:c>
      <x:c r="J32" s="11" t="str">
        <x:v>Exterior</x:v>
      </x:c>
      <x:c r="K32" s="11" t="str">
        <x:v>Sí</x:v>
      </x:c>
      <x:c r="L32" s="11" t="str">
        <x:v>Opcional 100 €/mes</x:v>
      </x:c>
      <x:c r="M32" s="12" t="str">
        <x:v>Piscina y vistas</x:v>
      </x:c>
      <x:c r="N32" s="12" t="str">
        <x:v>No recuperado; consultar anuncio</x:v>
      </x:c>
      <x:c r="O32" s="12" t="str">
        <x:v>No publicado</x:v>
      </x:c>
      <x:c r="P32" s="11" t="str">
        <x:v>112547756</x:v>
      </x:c>
      <x:c r="Q32" s="11" t="str">
        <x:v>https://www.idealista.com/inmueble/112547756/</x:v>
      </x:c>
    </x:row>
    <x:row r="33" ht="36" hidden="0" customHeight="1">
      <x:c r="A33" s="11" t="n">
        <x:v>28</x:v>
      </x:c>
      <x:c r="B33" s="11" t="str">
        <x:v>Piso</x:v>
      </x:c>
      <x:c r="C33" s="11" t="str">
        <x:v>Calle del Doctor Drumen</x:v>
      </x:c>
      <x:c r="D33" s="11" t="str">
        <x:v>Lavapiés-Embajadores</x:v>
      </x:c>
      <x:c r="E33" s="13" t="n">
        <x:v>3200</x:v>
      </x:c>
      <x:c r="F33" s="14" t="n">
        <x:v>4</x:v>
      </x:c>
      <x:c r="G33" s="14" t="n">
        <x:v>114</x:v>
      </x:c>
      <x:c r="H33" s="15" t="n">
        <x:f>E33/G33</x:f>
        <x:v>28.07017543859649</x:v>
      </x:c>
      <x:c r="I33" s="11" t="str">
        <x:v>1ª</x:v>
      </x:c>
      <x:c r="J33" s="11" t="str">
        <x:v>Exterior</x:v>
      </x:c>
      <x:c r="K33" s="11" t="str">
        <x:v>Sí</x:v>
      </x:c>
      <x:c r="L33" s="11" t="str">
        <x:v>No indicado</x:v>
      </x:c>
      <x:c r="M33" s="12" t="str">
        <x:v>Amueblado; apto para compartir</x:v>
      </x:c>
      <x:c r="N33" s="12" t="str">
        <x:v>No recuperado; consultar anuncio</x:v>
      </x:c>
      <x:c r="O33" s="12" t="str">
        <x:v>No publicado</x:v>
      </x:c>
      <x:c r="P33" s="11" t="str">
        <x:v>111079282</x:v>
      </x:c>
      <x:c r="Q33" s="11" t="str">
        <x:v>https://www.idealista.com/inmueble/111079282/</x:v>
      </x:c>
    </x:row>
    <x:row r="34" ht="36" hidden="0" customHeight="1">
      <x:c r="A34" s="11" t="n">
        <x:v>29</x:v>
      </x:c>
      <x:c r="B34" s="11" t="str">
        <x:v>Piso</x:v>
      </x:c>
      <x:c r="C34" s="11" t="str">
        <x:v>Calle de la Cruz del Sur, 12</x:v>
      </x:c>
      <x:c r="D34" s="11" t="str">
        <x:v>Estrella</x:v>
      </x:c>
      <x:c r="E34" s="13" t="n">
        <x:v>1900</x:v>
      </x:c>
      <x:c r="F34" s="14" t="n">
        <x:v>2</x:v>
      </x:c>
      <x:c r="G34" s="14" t="n">
        <x:v>90</x:v>
      </x:c>
      <x:c r="H34" s="15" t="n">
        <x:f>E34/G34</x:f>
        <x:v>21.11111111111111</x:v>
      </x:c>
      <x:c r="I34" s="11" t="str">
        <x:v>6ª</x:v>
      </x:c>
      <x:c r="J34" s="11" t="str">
        <x:v>Exterior</x:v>
      </x:c>
      <x:c r="K34" s="11" t="str">
        <x:v>Sí</x:v>
      </x:c>
      <x:c r="L34" s="11" t="str">
        <x:v>Incluido</x:v>
      </x:c>
      <x:c r="M34" s="12" t="str">
        <x:v>Amueblado; reformado en 2021</x:v>
      </x:c>
      <x:c r="N34" s="12" t="str">
        <x:v>No recuperado; consultar anuncio</x:v>
      </x:c>
      <x:c r="O34" s="12" t="str">
        <x:v>No publicado</x:v>
      </x:c>
      <x:c r="P34" s="11" t="str">
        <x:v>112547569</x:v>
      </x:c>
      <x:c r="Q34" s="11" t="str">
        <x:v>https://www.idealista.com/inmueble/112547569/</x:v>
      </x:c>
    </x:row>
    <x:row r="35" ht="36" hidden="0" customHeight="1">
      <x:c r="A35" s="11" t="n">
        <x:v>30</x:v>
      </x:c>
      <x:c r="B35" s="11" t="str">
        <x:v>Piso</x:v>
      </x:c>
      <x:c r="C35" s="11" t="str">
        <x:v>Goya</x:v>
      </x:c>
      <x:c r="D35" s="11" t="str">
        <x:v>Goya</x:v>
      </x:c>
      <x:c r="E35" s="13" t="n">
        <x:v>16000</x:v>
      </x:c>
      <x:c r="F35" s="14" t="n">
        <x:v>5</x:v>
      </x:c>
      <x:c r="G35" s="14" t="n">
        <x:v>366</x:v>
      </x:c>
      <x:c r="H35" s="15" t="n">
        <x:f>E35/G35</x:f>
        <x:v>43.71584699453552</x:v>
      </x:c>
      <x:c r="I35" s="11" t="str">
        <x:v>1ª</x:v>
      </x:c>
      <x:c r="J35" s="11" t="str">
        <x:v>Exterior</x:v>
      </x:c>
      <x:c r="K35" s="11" t="str">
        <x:v>Sí</x:v>
      </x:c>
      <x:c r="L35" s="11" t="str">
        <x:v>Incluido</x:v>
      </x:c>
      <x:c r="M35" s="12" t="str">
        <x:v>Amueblado; vivienda de lujo</x:v>
      </x:c>
      <x:c r="N35" s="12" t="str">
        <x:v>No recuperado; consultar anuncio</x:v>
      </x:c>
      <x:c r="O35" s="12" t="str">
        <x:v>No publicado</x:v>
      </x:c>
      <x:c r="P35" s="11" t="str">
        <x:v>109775128</x:v>
      </x:c>
      <x:c r="Q35" s="11" t="str">
        <x:v>https://www.idealista.com/inmueble/109775128/</x:v>
      </x:c>
    </x:row>
  </x:sheetData>
  <x:mergeCells>
    <x:mergeCell ref="A2:Q2"/>
    <x:mergeCell ref="A3:Q3"/>
  </x:mergeCells>
  <x:conditionalFormatting sqref="E6:H35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bd885e3d414e54"/>
  </x:tableParts>
</x:worksheet>
</file>